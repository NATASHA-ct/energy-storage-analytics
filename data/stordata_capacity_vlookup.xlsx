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pyrosgnl/Library/CloudStorage/Box-Box/KE/myUD/_1d energy storage optimiz and data sc/6 data science on power capability/"/>
    </mc:Choice>
  </mc:AlternateContent>
  <xr:revisionPtr revIDLastSave="0" documentId="13_ncr:1_{E0F5B705-6500-6F4A-A176-CBC883A4D9DF}" xr6:coauthVersionLast="47" xr6:coauthVersionMax="47" xr10:uidLastSave="{00000000-0000-0000-0000-000000000000}"/>
  <bookViews>
    <workbookView xWindow="1880" yWindow="760" windowWidth="21860" windowHeight="17100" xr2:uid="{11E4CA1A-32AC-47A9-93F0-8F5886D508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  <c r="F2" i="1"/>
  <c r="G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</calcChain>
</file>

<file path=xl/sharedStrings.xml><?xml version="1.0" encoding="utf-8"?>
<sst xmlns="http://schemas.openxmlformats.org/spreadsheetml/2006/main" count="83" uniqueCount="38">
  <si>
    <t>Efficiency</t>
  </si>
  <si>
    <t>bus</t>
  </si>
  <si>
    <t>bus_1</t>
  </si>
  <si>
    <t>bus_2</t>
  </si>
  <si>
    <t>bus_3</t>
  </si>
  <si>
    <t>id</t>
  </si>
  <si>
    <t>bus_5</t>
  </si>
  <si>
    <t>stor1</t>
  </si>
  <si>
    <t>stor2</t>
  </si>
  <si>
    <t>stor3</t>
  </si>
  <si>
    <t>stor4</t>
  </si>
  <si>
    <t>stor5</t>
  </si>
  <si>
    <t>stor6</t>
  </si>
  <si>
    <t>stor7</t>
  </si>
  <si>
    <t>stor8</t>
  </si>
  <si>
    <t>stor9</t>
  </si>
  <si>
    <t>stor10</t>
  </si>
  <si>
    <t>stor11</t>
  </si>
  <si>
    <t>stor12</t>
  </si>
  <si>
    <t>stor13</t>
  </si>
  <si>
    <t>stor14</t>
  </si>
  <si>
    <t>stor15</t>
  </si>
  <si>
    <t>stor16</t>
  </si>
  <si>
    <t>stor17</t>
  </si>
  <si>
    <t>stor18</t>
  </si>
  <si>
    <t>stor19</t>
  </si>
  <si>
    <t>stor20</t>
  </si>
  <si>
    <t>stor21</t>
  </si>
  <si>
    <t>stor22</t>
  </si>
  <si>
    <t>stor23</t>
  </si>
  <si>
    <t>stor24</t>
  </si>
  <si>
    <t>bus_4</t>
  </si>
  <si>
    <t>power capability</t>
  </si>
  <si>
    <t>energy capacity</t>
  </si>
  <si>
    <t>duration</t>
  </si>
  <si>
    <t>VLOOKUP</t>
  </si>
  <si>
    <t>stor999</t>
  </si>
  <si>
    <t>bus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</si>
</sst>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 Narrow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0</xdr:row>
      <xdr:rowOff>0</xdr:rowOff>
    </xdr:from>
    <xdr:to>
      <xdr:col>23</xdr:col>
      <xdr:colOff>374650</xdr:colOff>
      <xdr:row>28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A5D90F-5223-43B2-AF64-893DE5D3E56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2200" y="0"/>
          <a:ext cx="9671050" cy="5010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7408-122A-428D-8F6A-C43529C4BBD3}">
  <dimension ref="A1:G26"/>
  <sheetViews>
    <sheetView tabSelected="1" zoomScaleNormal="100" workbookViewId="0">
      <selection activeCell="F1" sqref="F1"/>
    </sheetView>
  </sheetViews>
  <sheetFormatPr baseColWidth="10" defaultColWidth="9" defaultRowHeight="14" x14ac:dyDescent="0.15"/>
  <cols>
    <col min="1" max="1" width="9" style="1" bestFit="1" customWidth="1"/>
    <col min="2" max="3" width="9" style="1"/>
    <col min="4" max="5" width="13.3984375" style="1" customWidth="1"/>
    <col min="6" max="6" width="21" style="1" customWidth="1"/>
    <col min="7" max="7" width="14.59765625" style="1" bestFit="1" customWidth="1"/>
    <col min="8" max="8" width="12.59765625" style="1" customWidth="1"/>
    <col min="9" max="16384" width="9" style="1"/>
  </cols>
  <sheetData>
    <row r="1" spans="1:7" x14ac:dyDescent="0.15">
      <c r="A1" s="1" t="s">
        <v>5</v>
      </c>
      <c r="B1" s="1" t="s">
        <v>1</v>
      </c>
      <c r="C1" s="1" t="s">
        <v>0</v>
      </c>
      <c r="D1" s="1" t="s">
        <v>34</v>
      </c>
      <c r="E1" s="1" t="s">
        <v>35</v>
      </c>
      <c r="F1" s="1" t="s">
        <v>32</v>
      </c>
      <c r="G1" s="1" t="s">
        <v>33</v>
      </c>
    </row>
    <row r="2" spans="1:7" x14ac:dyDescent="0.15">
      <c r="A2" s="1" t="s">
        <v>7</v>
      </c>
      <c r="B2" s="1" t="s">
        <v>4</v>
      </c>
      <c r="C2" s="2">
        <v>0.76</v>
      </c>
      <c r="D2" s="1">
        <v>4</v>
      </c>
      <c r="E2" s="1">
        <f>VLOOKUP(A2,Sheet2!$B$2:$C$25,2,FALSE)</f>
        <v>8</v>
      </c>
      <c r="F2" s="1">
        <f>_xlfn.IFNA(VLOOKUP(A2,Sheet2!$B$2:$C$25,2,FALSE),0)</f>
        <v>8</v>
      </c>
      <c r="G2" s="1">
        <f>F2*D2</f>
        <v>32</v>
      </c>
    </row>
    <row r="3" spans="1:7" x14ac:dyDescent="0.15">
      <c r="A3" s="1" t="s">
        <v>8</v>
      </c>
      <c r="B3" s="1" t="s">
        <v>4</v>
      </c>
      <c r="C3" s="2">
        <v>0.87</v>
      </c>
      <c r="D3" s="1">
        <v>1</v>
      </c>
      <c r="E3" s="1">
        <f>VLOOKUP(A3,Sheet2!$B$2:$C$25,2,FALSE)</f>
        <v>5</v>
      </c>
      <c r="F3" s="1">
        <f>_xlfn.IFNA(VLOOKUP(A3,Sheet2!$B$2:$C$25,2,FALSE),0)</f>
        <v>5</v>
      </c>
      <c r="G3" s="1">
        <f t="shared" ref="G3:G25" si="0">F3*D3</f>
        <v>5</v>
      </c>
    </row>
    <row r="4" spans="1:7" x14ac:dyDescent="0.15">
      <c r="A4" s="1" t="s">
        <v>9</v>
      </c>
      <c r="B4" s="1" t="s">
        <v>4</v>
      </c>
      <c r="C4" s="2">
        <v>0.85</v>
      </c>
      <c r="D4" s="1">
        <v>0.5</v>
      </c>
      <c r="E4" s="1">
        <f>VLOOKUP(A4,Sheet2!$B$2:$C$25,2,FALSE)</f>
        <v>18</v>
      </c>
      <c r="F4" s="1">
        <f>_xlfn.IFNA(VLOOKUP(A4,Sheet2!$B$2:$C$25,2,FALSE),0)</f>
        <v>18</v>
      </c>
      <c r="G4" s="1">
        <f t="shared" si="0"/>
        <v>9</v>
      </c>
    </row>
    <row r="5" spans="1:7" x14ac:dyDescent="0.15">
      <c r="A5" s="1" t="s">
        <v>10</v>
      </c>
      <c r="B5" s="1" t="s">
        <v>3</v>
      </c>
      <c r="C5" s="2">
        <v>0.89</v>
      </c>
      <c r="D5" s="1">
        <v>4</v>
      </c>
      <c r="E5" s="1">
        <f>VLOOKUP(A5,Sheet2!$B$2:$C$25,2,FALSE)</f>
        <v>12</v>
      </c>
      <c r="F5" s="1">
        <f>_xlfn.IFNA(VLOOKUP(A5,Sheet2!$B$2:$C$25,2,FALSE),0)</f>
        <v>12</v>
      </c>
      <c r="G5" s="1">
        <f t="shared" si="0"/>
        <v>48</v>
      </c>
    </row>
    <row r="6" spans="1:7" x14ac:dyDescent="0.15">
      <c r="A6" s="1" t="s">
        <v>11</v>
      </c>
      <c r="B6" s="1" t="s">
        <v>3</v>
      </c>
      <c r="C6" s="2">
        <v>0.87</v>
      </c>
      <c r="D6" s="1">
        <v>3</v>
      </c>
      <c r="E6" s="1">
        <f>VLOOKUP(A6,Sheet2!$B$2:$C$25,2,FALSE)</f>
        <v>5</v>
      </c>
      <c r="F6" s="1">
        <f>_xlfn.IFNA(VLOOKUP(A6,Sheet2!$B$2:$C$25,2,FALSE),0)</f>
        <v>5</v>
      </c>
      <c r="G6" s="1">
        <f t="shared" si="0"/>
        <v>15</v>
      </c>
    </row>
    <row r="7" spans="1:7" x14ac:dyDescent="0.15">
      <c r="A7" s="1" t="s">
        <v>12</v>
      </c>
      <c r="B7" s="1" t="s">
        <v>6</v>
      </c>
      <c r="C7" s="2">
        <v>0.85</v>
      </c>
      <c r="D7" s="1">
        <v>2</v>
      </c>
      <c r="E7" s="1">
        <f>VLOOKUP(A7,Sheet2!$B$2:$C$25,2,FALSE)</f>
        <v>38</v>
      </c>
      <c r="F7" s="1">
        <f>_xlfn.IFNA(VLOOKUP(A7,Sheet2!$B$2:$C$25,2,FALSE),0)</f>
        <v>38</v>
      </c>
      <c r="G7" s="1">
        <f t="shared" si="0"/>
        <v>76</v>
      </c>
    </row>
    <row r="8" spans="1:7" x14ac:dyDescent="0.15">
      <c r="A8" s="1" t="s">
        <v>13</v>
      </c>
      <c r="B8" s="1" t="s">
        <v>2</v>
      </c>
      <c r="C8" s="2">
        <v>0.85</v>
      </c>
      <c r="D8" s="1">
        <v>1.5</v>
      </c>
      <c r="E8" s="1">
        <f>VLOOKUP(A8,Sheet2!$B$2:$C$25,2,FALSE)</f>
        <v>34</v>
      </c>
      <c r="F8" s="1">
        <f>_xlfn.IFNA(VLOOKUP(A8,Sheet2!$B$2:$C$25,2,FALSE),0)</f>
        <v>34</v>
      </c>
      <c r="G8" s="1">
        <f t="shared" si="0"/>
        <v>51</v>
      </c>
    </row>
    <row r="9" spans="1:7" x14ac:dyDescent="0.15">
      <c r="A9" s="1" t="s">
        <v>14</v>
      </c>
      <c r="B9" s="1" t="s">
        <v>2</v>
      </c>
      <c r="C9" s="2">
        <v>0.9</v>
      </c>
      <c r="D9" s="1">
        <v>1</v>
      </c>
      <c r="E9" s="1">
        <f>VLOOKUP(A9,Sheet2!$B$2:$C$25,2,FALSE)</f>
        <v>3</v>
      </c>
      <c r="F9" s="1">
        <f>_xlfn.IFNA(VLOOKUP(A9,Sheet2!$B$2:$C$25,2,FALSE),0)</f>
        <v>3</v>
      </c>
      <c r="G9" s="1">
        <f t="shared" si="0"/>
        <v>3</v>
      </c>
    </row>
    <row r="10" spans="1:7" x14ac:dyDescent="0.15">
      <c r="A10" s="1" t="s">
        <v>15</v>
      </c>
      <c r="B10" s="1" t="s">
        <v>2</v>
      </c>
      <c r="C10" s="2">
        <v>0.88</v>
      </c>
      <c r="D10" s="1">
        <v>0.5</v>
      </c>
      <c r="E10" s="1">
        <f>VLOOKUP(A10,Sheet2!$B$2:$C$25,2,FALSE)</f>
        <v>22</v>
      </c>
      <c r="F10" s="1">
        <f>_xlfn.IFNA(VLOOKUP(A10,Sheet2!$B$2:$C$25,2,FALSE),0)</f>
        <v>22</v>
      </c>
      <c r="G10" s="1">
        <f t="shared" si="0"/>
        <v>11</v>
      </c>
    </row>
    <row r="11" spans="1:7" x14ac:dyDescent="0.15">
      <c r="A11" s="1" t="s">
        <v>16</v>
      </c>
      <c r="B11" s="1" t="s">
        <v>3</v>
      </c>
      <c r="C11" s="2">
        <v>0.65</v>
      </c>
      <c r="D11" s="1">
        <v>4</v>
      </c>
      <c r="E11" s="1">
        <f>VLOOKUP(A11,Sheet2!$B$2:$C$25,2,FALSE)</f>
        <v>2</v>
      </c>
      <c r="F11" s="1">
        <f>_xlfn.IFNA(VLOOKUP(A11,Sheet2!$B$2:$C$25,2,FALSE),0)</f>
        <v>2</v>
      </c>
      <c r="G11" s="1">
        <f t="shared" si="0"/>
        <v>8</v>
      </c>
    </row>
    <row r="12" spans="1:7" x14ac:dyDescent="0.15">
      <c r="A12" s="1" t="s">
        <v>17</v>
      </c>
      <c r="B12" s="1" t="s">
        <v>6</v>
      </c>
      <c r="C12" s="2">
        <v>0.85</v>
      </c>
      <c r="D12" s="1">
        <v>6</v>
      </c>
      <c r="E12" s="1">
        <f>VLOOKUP(A12,Sheet2!$B$2:$C$25,2,FALSE)</f>
        <v>86</v>
      </c>
      <c r="F12" s="1">
        <f>_xlfn.IFNA(VLOOKUP(A12,Sheet2!$B$2:$C$25,2,FALSE),0)</f>
        <v>86</v>
      </c>
      <c r="G12" s="1">
        <f t="shared" si="0"/>
        <v>516</v>
      </c>
    </row>
    <row r="13" spans="1:7" x14ac:dyDescent="0.15">
      <c r="A13" s="1" t="s">
        <v>18</v>
      </c>
      <c r="B13" s="1" t="s">
        <v>6</v>
      </c>
      <c r="C13" s="2">
        <v>0.92</v>
      </c>
      <c r="D13" s="1">
        <v>0.5</v>
      </c>
      <c r="E13" s="1">
        <f>VLOOKUP(A13,Sheet2!$B$2:$C$25,2,FALSE)</f>
        <v>99</v>
      </c>
      <c r="F13" s="1">
        <f>_xlfn.IFNA(VLOOKUP(A13,Sheet2!$B$2:$C$25,2,FALSE),0)</f>
        <v>99</v>
      </c>
      <c r="G13" s="1">
        <f t="shared" si="0"/>
        <v>49.5</v>
      </c>
    </row>
    <row r="14" spans="1:7" x14ac:dyDescent="0.15">
      <c r="A14" s="1" t="s">
        <v>19</v>
      </c>
      <c r="B14" s="1" t="s">
        <v>6</v>
      </c>
      <c r="C14" s="2">
        <v>0.91</v>
      </c>
      <c r="D14" s="1">
        <v>1.5</v>
      </c>
      <c r="E14" s="1">
        <f>VLOOKUP(A14,Sheet2!$B$2:$C$25,2,FALSE)</f>
        <v>49</v>
      </c>
      <c r="F14" s="1">
        <f>_xlfn.IFNA(VLOOKUP(A14,Sheet2!$B$2:$C$25,2,FALSE),0)</f>
        <v>49</v>
      </c>
      <c r="G14" s="1">
        <f t="shared" si="0"/>
        <v>73.5</v>
      </c>
    </row>
    <row r="15" spans="1:7" x14ac:dyDescent="0.15">
      <c r="A15" s="1" t="s">
        <v>20</v>
      </c>
      <c r="B15" s="1" t="s">
        <v>6</v>
      </c>
      <c r="C15" s="2">
        <v>0.9</v>
      </c>
      <c r="D15" s="1">
        <v>1</v>
      </c>
      <c r="E15" s="1">
        <f>VLOOKUP(A15,Sheet2!$B$2:$C$25,2,FALSE)</f>
        <v>46</v>
      </c>
      <c r="F15" s="1">
        <f>_xlfn.IFNA(VLOOKUP(A15,Sheet2!$B$2:$C$25,2,FALSE),0)</f>
        <v>46</v>
      </c>
      <c r="G15" s="1">
        <f t="shared" si="0"/>
        <v>46</v>
      </c>
    </row>
    <row r="16" spans="1:7" x14ac:dyDescent="0.15">
      <c r="A16" s="1" t="s">
        <v>21</v>
      </c>
      <c r="B16" s="1" t="s">
        <v>3</v>
      </c>
      <c r="C16" s="2">
        <v>0.85</v>
      </c>
      <c r="D16" s="1">
        <v>4</v>
      </c>
      <c r="E16" s="1">
        <f>VLOOKUP(A16,Sheet2!$B$2:$C$25,2,FALSE)</f>
        <v>12</v>
      </c>
      <c r="F16" s="1">
        <f>_xlfn.IFNA(VLOOKUP(A16,Sheet2!$B$2:$C$25,2,FALSE),0)</f>
        <v>12</v>
      </c>
      <c r="G16" s="1">
        <f t="shared" si="0"/>
        <v>48</v>
      </c>
    </row>
    <row r="17" spans="1:7" x14ac:dyDescent="0.15">
      <c r="A17" s="1" t="s">
        <v>22</v>
      </c>
      <c r="B17" s="1" t="s">
        <v>3</v>
      </c>
      <c r="C17" s="2">
        <v>0.77</v>
      </c>
      <c r="D17" s="1">
        <v>4</v>
      </c>
      <c r="E17" s="1">
        <f>VLOOKUP(A17,Sheet2!$B$2:$C$25,2,FALSE)</f>
        <v>25</v>
      </c>
      <c r="F17" s="1">
        <f>_xlfn.IFNA(VLOOKUP(A17,Sheet2!$B$2:$C$25,2,FALSE),0)</f>
        <v>25</v>
      </c>
      <c r="G17" s="1">
        <f t="shared" si="0"/>
        <v>100</v>
      </c>
    </row>
    <row r="18" spans="1:7" x14ac:dyDescent="0.15">
      <c r="A18" s="1" t="s">
        <v>23</v>
      </c>
      <c r="B18" s="1" t="s">
        <v>31</v>
      </c>
      <c r="C18" s="2">
        <v>0.9</v>
      </c>
      <c r="D18" s="1">
        <v>3.5</v>
      </c>
      <c r="E18" s="1">
        <f>VLOOKUP(A18,Sheet2!$B$2:$C$25,2,FALSE)</f>
        <v>33</v>
      </c>
      <c r="F18" s="1">
        <f>_xlfn.IFNA(VLOOKUP(A18,Sheet2!$B$2:$C$25,2,FALSE),0)</f>
        <v>33</v>
      </c>
      <c r="G18" s="1">
        <f t="shared" si="0"/>
        <v>115.5</v>
      </c>
    </row>
    <row r="19" spans="1:7" x14ac:dyDescent="0.15">
      <c r="A19" s="1" t="s">
        <v>24</v>
      </c>
      <c r="B19" s="1" t="s">
        <v>3</v>
      </c>
      <c r="C19" s="2">
        <v>0.85</v>
      </c>
      <c r="D19" s="1">
        <v>1</v>
      </c>
      <c r="E19" s="1">
        <f>VLOOKUP(A19,Sheet2!$B$2:$C$25,2,FALSE)</f>
        <v>13</v>
      </c>
      <c r="F19" s="1">
        <f>_xlfn.IFNA(VLOOKUP(A19,Sheet2!$B$2:$C$25,2,FALSE),0)</f>
        <v>13</v>
      </c>
      <c r="G19" s="1">
        <f t="shared" si="0"/>
        <v>13</v>
      </c>
    </row>
    <row r="20" spans="1:7" x14ac:dyDescent="0.15">
      <c r="A20" s="1" t="s">
        <v>25</v>
      </c>
      <c r="B20" s="1" t="s">
        <v>6</v>
      </c>
      <c r="C20" s="2">
        <v>0.65</v>
      </c>
      <c r="D20" s="1">
        <v>4</v>
      </c>
      <c r="E20" s="1">
        <f>VLOOKUP(A20,Sheet2!$B$2:$C$25,2,FALSE)</f>
        <v>45</v>
      </c>
      <c r="F20" s="1">
        <f>_xlfn.IFNA(VLOOKUP(A20,Sheet2!$B$2:$C$25,2,FALSE),0)</f>
        <v>45</v>
      </c>
      <c r="G20" s="1">
        <f t="shared" si="0"/>
        <v>180</v>
      </c>
    </row>
    <row r="21" spans="1:7" x14ac:dyDescent="0.15">
      <c r="A21" s="1" t="s">
        <v>26</v>
      </c>
      <c r="B21" s="1" t="s">
        <v>2</v>
      </c>
      <c r="C21" s="2">
        <v>0.81</v>
      </c>
      <c r="D21" s="1">
        <v>4</v>
      </c>
      <c r="E21" s="1">
        <f>VLOOKUP(A21,Sheet2!$B$2:$C$25,2,FALSE)</f>
        <v>76</v>
      </c>
      <c r="F21" s="1">
        <f>_xlfn.IFNA(VLOOKUP(A21,Sheet2!$B$2:$C$25,2,FALSE),0)</f>
        <v>76</v>
      </c>
      <c r="G21" s="1">
        <f t="shared" si="0"/>
        <v>304</v>
      </c>
    </row>
    <row r="22" spans="1:7" x14ac:dyDescent="0.15">
      <c r="A22" s="1" t="s">
        <v>27</v>
      </c>
      <c r="B22" s="1" t="s">
        <v>2</v>
      </c>
      <c r="C22" s="2">
        <v>0.82</v>
      </c>
      <c r="D22" s="1">
        <v>4</v>
      </c>
      <c r="E22" s="1">
        <f>VLOOKUP(A22,Sheet2!$B$2:$C$25,2,FALSE)</f>
        <v>94</v>
      </c>
      <c r="F22" s="1">
        <f>_xlfn.IFNA(VLOOKUP(A22,Sheet2!$B$2:$C$25,2,FALSE),0)</f>
        <v>94</v>
      </c>
      <c r="G22" s="1">
        <f t="shared" si="0"/>
        <v>376</v>
      </c>
    </row>
    <row r="23" spans="1:7" x14ac:dyDescent="0.15">
      <c r="A23" s="1" t="s">
        <v>28</v>
      </c>
      <c r="B23" s="1" t="s">
        <v>2</v>
      </c>
      <c r="C23" s="2">
        <v>0.65</v>
      </c>
      <c r="D23" s="1">
        <v>1</v>
      </c>
      <c r="E23" s="1">
        <f>VLOOKUP(A23,Sheet2!$B$2:$C$25,2,FALSE)</f>
        <v>98</v>
      </c>
      <c r="F23" s="1">
        <f>_xlfn.IFNA(VLOOKUP(A23,Sheet2!$B$2:$C$25,2,FALSE),0)</f>
        <v>98</v>
      </c>
      <c r="G23" s="1">
        <f t="shared" si="0"/>
        <v>98</v>
      </c>
    </row>
    <row r="24" spans="1:7" x14ac:dyDescent="0.15">
      <c r="A24" s="1" t="s">
        <v>29</v>
      </c>
      <c r="B24" s="1" t="s">
        <v>2</v>
      </c>
      <c r="C24" s="2">
        <v>0.85</v>
      </c>
      <c r="D24" s="1">
        <v>4</v>
      </c>
      <c r="E24" s="1">
        <f>VLOOKUP(A24,Sheet2!$B$2:$C$25,2,FALSE)</f>
        <v>64</v>
      </c>
      <c r="F24" s="1">
        <f>_xlfn.IFNA(VLOOKUP(A24,Sheet2!$B$2:$C$25,2,FALSE),0)</f>
        <v>64</v>
      </c>
      <c r="G24" s="1">
        <f t="shared" si="0"/>
        <v>256</v>
      </c>
    </row>
    <row r="25" spans="1:7" x14ac:dyDescent="0.15">
      <c r="A25" s="1" t="s">
        <v>30</v>
      </c>
      <c r="B25" s="1" t="s">
        <v>4</v>
      </c>
      <c r="C25" s="2">
        <v>0.75</v>
      </c>
      <c r="D25" s="1">
        <v>9</v>
      </c>
      <c r="E25" s="1">
        <f>VLOOKUP(A25,Sheet2!$B$2:$C$25,2,FALSE)</f>
        <v>52</v>
      </c>
      <c r="F25" s="1">
        <f>_xlfn.IFNA(VLOOKUP(A25,Sheet2!$B$2:$C$25,2,FALSE),0)</f>
        <v>52</v>
      </c>
      <c r="G25" s="1">
        <f t="shared" si="0"/>
        <v>468</v>
      </c>
    </row>
    <row r="26" spans="1:7" x14ac:dyDescent="0.15">
      <c r="A26" s="1" t="s">
        <v>36</v>
      </c>
      <c r="B26" s="1" t="s">
        <v>37</v>
      </c>
      <c r="C26" s="2">
        <v>0.8</v>
      </c>
      <c r="D26" s="1">
        <v>2</v>
      </c>
      <c r="E26" s="1" t="e">
        <f>VLOOKUP(A26,Sheet2!$B$2:$C$25,2,FALSE)</f>
        <v>#N/A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13BA-AB68-4B57-871A-931EF9A53D12}">
  <dimension ref="B1:C25"/>
  <sheetViews>
    <sheetView workbookViewId="0">
      <selection activeCell="C25" sqref="C25"/>
    </sheetView>
  </sheetViews>
  <sheetFormatPr baseColWidth="10" defaultColWidth="9" defaultRowHeight="14" x14ac:dyDescent="0.15"/>
  <cols>
    <col min="1" max="2" width="9" style="1"/>
    <col min="3" max="3" width="21.3984375" style="1" customWidth="1"/>
    <col min="4" max="16384" width="9" style="1"/>
  </cols>
  <sheetData>
    <row r="1" spans="2:3" x14ac:dyDescent="0.15">
      <c r="B1" s="1" t="s">
        <v>5</v>
      </c>
      <c r="C1" s="1" t="s">
        <v>32</v>
      </c>
    </row>
    <row r="2" spans="2:3" x14ac:dyDescent="0.15">
      <c r="B2" s="1" t="s">
        <v>22</v>
      </c>
      <c r="C2" s="1">
        <v>25</v>
      </c>
    </row>
    <row r="3" spans="2:3" x14ac:dyDescent="0.15">
      <c r="B3" s="1" t="s">
        <v>9</v>
      </c>
      <c r="C3" s="1">
        <v>18</v>
      </c>
    </row>
    <row r="4" spans="2:3" x14ac:dyDescent="0.15">
      <c r="B4" s="1" t="s">
        <v>12</v>
      </c>
      <c r="C4" s="1">
        <v>38</v>
      </c>
    </row>
    <row r="5" spans="2:3" x14ac:dyDescent="0.15">
      <c r="B5" s="1" t="s">
        <v>11</v>
      </c>
      <c r="C5" s="1">
        <v>5</v>
      </c>
    </row>
    <row r="6" spans="2:3" x14ac:dyDescent="0.15">
      <c r="B6" s="1" t="s">
        <v>13</v>
      </c>
      <c r="C6" s="1">
        <v>34</v>
      </c>
    </row>
    <row r="7" spans="2:3" x14ac:dyDescent="0.15">
      <c r="B7" s="1" t="s">
        <v>8</v>
      </c>
      <c r="C7" s="1">
        <v>5</v>
      </c>
    </row>
    <row r="8" spans="2:3" x14ac:dyDescent="0.15">
      <c r="B8" s="1" t="s">
        <v>16</v>
      </c>
      <c r="C8" s="1">
        <v>2</v>
      </c>
    </row>
    <row r="9" spans="2:3" x14ac:dyDescent="0.15">
      <c r="B9" s="1" t="s">
        <v>7</v>
      </c>
      <c r="C9" s="1">
        <v>8</v>
      </c>
    </row>
    <row r="10" spans="2:3" x14ac:dyDescent="0.15">
      <c r="B10" s="1" t="s">
        <v>15</v>
      </c>
      <c r="C10" s="1">
        <v>22</v>
      </c>
    </row>
    <row r="11" spans="2:3" x14ac:dyDescent="0.15">
      <c r="B11" s="1" t="s">
        <v>21</v>
      </c>
      <c r="C11" s="1">
        <v>12</v>
      </c>
    </row>
    <row r="12" spans="2:3" x14ac:dyDescent="0.15">
      <c r="B12" s="1" t="s">
        <v>26</v>
      </c>
      <c r="C12" s="1">
        <v>76</v>
      </c>
    </row>
    <row r="13" spans="2:3" x14ac:dyDescent="0.15">
      <c r="B13" s="1" t="s">
        <v>14</v>
      </c>
      <c r="C13" s="1">
        <v>3</v>
      </c>
    </row>
    <row r="14" spans="2:3" x14ac:dyDescent="0.15">
      <c r="B14" s="1" t="s">
        <v>20</v>
      </c>
      <c r="C14" s="1">
        <v>46</v>
      </c>
    </row>
    <row r="15" spans="2:3" x14ac:dyDescent="0.15">
      <c r="B15" s="1" t="s">
        <v>17</v>
      </c>
      <c r="C15" s="1">
        <v>86</v>
      </c>
    </row>
    <row r="16" spans="2:3" x14ac:dyDescent="0.15">
      <c r="B16" s="1" t="s">
        <v>18</v>
      </c>
      <c r="C16" s="1">
        <v>99</v>
      </c>
    </row>
    <row r="17" spans="2:3" x14ac:dyDescent="0.15">
      <c r="B17" s="1" t="s">
        <v>23</v>
      </c>
      <c r="C17" s="1">
        <v>33</v>
      </c>
    </row>
    <row r="18" spans="2:3" x14ac:dyDescent="0.15">
      <c r="B18" s="1" t="s">
        <v>24</v>
      </c>
      <c r="C18" s="1">
        <v>13</v>
      </c>
    </row>
    <row r="19" spans="2:3" x14ac:dyDescent="0.15">
      <c r="B19" s="1" t="s">
        <v>25</v>
      </c>
      <c r="C19" s="1">
        <v>45</v>
      </c>
    </row>
    <row r="20" spans="2:3" x14ac:dyDescent="0.15">
      <c r="B20" s="1" t="s">
        <v>19</v>
      </c>
      <c r="C20" s="1">
        <v>49</v>
      </c>
    </row>
    <row r="21" spans="2:3" x14ac:dyDescent="0.15">
      <c r="B21" s="1" t="s">
        <v>30</v>
      </c>
      <c r="C21" s="1">
        <v>52</v>
      </c>
    </row>
    <row r="22" spans="2:3" x14ac:dyDescent="0.15">
      <c r="B22" s="1" t="s">
        <v>27</v>
      </c>
      <c r="C22" s="1">
        <v>94</v>
      </c>
    </row>
    <row r="23" spans="2:3" x14ac:dyDescent="0.15">
      <c r="B23" s="1" t="s">
        <v>10</v>
      </c>
      <c r="C23" s="1">
        <v>12</v>
      </c>
    </row>
    <row r="24" spans="2:3" x14ac:dyDescent="0.15">
      <c r="B24" s="1" t="s">
        <v>29</v>
      </c>
      <c r="C24" s="1">
        <v>64</v>
      </c>
    </row>
    <row r="25" spans="2:3" x14ac:dyDescent="0.15">
      <c r="B25" s="1" t="s">
        <v>28</v>
      </c>
      <c r="C25" s="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Spyros G</dc:creator>
  <cp:lastModifiedBy>Giannelos, Spyros</cp:lastModifiedBy>
  <dcterms:created xsi:type="dcterms:W3CDTF">2021-09-16T07:33:14Z</dcterms:created>
  <dcterms:modified xsi:type="dcterms:W3CDTF">2023-10-28T09:32:18Z</dcterms:modified>
</cp:coreProperties>
</file>